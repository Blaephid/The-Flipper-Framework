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he-Flipper-Framework\Production\"/>
    </mc:Choice>
  </mc:AlternateContent>
  <xr:revisionPtr revIDLastSave="0" documentId="13_ncr:1_{78087C9A-8D74-4F3D-A33C-658F634E9040}" xr6:coauthVersionLast="47" xr6:coauthVersionMax="47" xr10:uidLastSave="{00000000-0000-0000-0000-000000000000}"/>
  <bookViews>
    <workbookView xWindow="28680" yWindow="660" windowWidth="19440" windowHeight="14880" xr2:uid="{85BE2389-3B13-409D-8678-A22E603B8D4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4" i="1"/>
  <c r="G8" i="1"/>
  <c r="G17" i="1"/>
  <c r="G21" i="1"/>
  <c r="G10" i="1"/>
  <c r="G9" i="1"/>
  <c r="G6" i="1"/>
  <c r="G20" i="1"/>
  <c r="G5" i="1"/>
  <c r="G13" i="1"/>
  <c r="G19" i="1"/>
  <c r="G4" i="1"/>
  <c r="G7" i="1"/>
  <c r="G12" i="1"/>
  <c r="G18" i="1"/>
  <c r="G11" i="1"/>
  <c r="G15" i="1"/>
</calcChain>
</file>

<file path=xl/sharedStrings.xml><?xml version="1.0" encoding="utf-8"?>
<sst xmlns="http://schemas.openxmlformats.org/spreadsheetml/2006/main" count="73" uniqueCount="37">
  <si>
    <t>Level</t>
  </si>
  <si>
    <t>Name</t>
  </si>
  <si>
    <t>Category</t>
  </si>
  <si>
    <t>Ticklist</t>
  </si>
  <si>
    <t>Feature</t>
  </si>
  <si>
    <t>Description</t>
  </si>
  <si>
    <t>Importance</t>
  </si>
  <si>
    <t>Progression</t>
  </si>
  <si>
    <t>Done</t>
  </si>
  <si>
    <t>ToDo</t>
  </si>
  <si>
    <t>In-Progress</t>
  </si>
  <si>
    <t>VFX</t>
  </si>
  <si>
    <t>Mechanic</t>
  </si>
  <si>
    <t>Task</t>
  </si>
  <si>
    <t>Status</t>
  </si>
  <si>
    <t>Entity</t>
  </si>
  <si>
    <t>Score System</t>
  </si>
  <si>
    <t>Numbered Red Rings</t>
  </si>
  <si>
    <t>Power Orbs</t>
  </si>
  <si>
    <t>Energy Use</t>
  </si>
  <si>
    <t>Time Tracking</t>
  </si>
  <si>
    <t>Player Trail</t>
  </si>
  <si>
    <t>Wind trail on arms.</t>
  </si>
  <si>
    <t>Smoke Trail</t>
  </si>
  <si>
    <t>Rail Sparks</t>
  </si>
  <si>
    <t>Levelling Up</t>
  </si>
  <si>
    <t>UX</t>
  </si>
  <si>
    <t>HUD</t>
  </si>
  <si>
    <t>Dying at different healths.</t>
  </si>
  <si>
    <t>Difficulty</t>
  </si>
  <si>
    <t>Value</t>
  </si>
  <si>
    <t>Item Box</t>
  </si>
  <si>
    <t>Items</t>
  </si>
  <si>
    <t>Alititude Recolouring</t>
  </si>
  <si>
    <t>End Screen</t>
  </si>
  <si>
    <t>Level Start Screen</t>
  </si>
  <si>
    <t>Fixing RC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</si>
</sst>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shrinkToFit="1"/>
    </xf>
    <xf numFmtId="16" fontId="0" fillId="0" borderId="0" xfId="0" applyNumberFormat="1" applyAlignment="1">
      <alignment shrinkToFit="1"/>
    </xf>
    <xf numFmtId="0" fontId="2" fillId="0" borderId="0" xfId="1" applyAlignment="1">
      <alignment shrinkToFit="1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0" fontId="4" fillId="0" borderId="0" xfId="0" applyFont="1" applyAlignment="1">
      <alignment horizontal="right" vertical="center"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8">
    <dxf>
      <font>
        <b/>
        <i val="0"/>
        <strike/>
      </font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0"/>
      </font>
      <fill>
        <patternFill>
          <bgColor theme="1" tint="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auto="1"/>
      </font>
      <fill>
        <patternFill patternType="solid">
          <bgColor rgb="FFFFE07D"/>
        </patternFill>
      </fill>
      <border>
        <left/>
        <right style="hair">
          <color auto="1"/>
        </right>
        <top/>
        <bottom/>
        <vertical/>
        <horizontal/>
      </border>
    </dxf>
    <dxf>
      <font>
        <b/>
        <i val="0"/>
        <strike val="0"/>
        <color auto="1"/>
      </font>
      <fill>
        <patternFill patternType="solid">
          <bgColor rgb="FFB8E08C"/>
        </patternFill>
      </fill>
      <border>
        <left/>
        <right style="hair">
          <color auto="1"/>
        </right>
        <top/>
        <bottom/>
        <vertical/>
        <horizontal/>
      </border>
    </dxf>
    <dxf>
      <font>
        <b/>
        <i val="0"/>
        <strike val="0"/>
        <color auto="1"/>
      </font>
      <fill>
        <patternFill patternType="solid">
          <bgColor rgb="FFFF4B94"/>
        </patternFill>
      </fill>
      <border>
        <left/>
        <right style="hair">
          <color auto="1"/>
        </right>
        <top/>
        <bottom/>
        <vertical/>
        <horizontal/>
      </border>
    </dxf>
    <dxf>
      <font>
        <b/>
        <i val="0"/>
        <strike val="0"/>
        <color auto="1"/>
      </font>
      <fill>
        <patternFill patternType="solid">
          <bgColor rgb="FF69D8FF"/>
        </patternFill>
      </fill>
      <border>
        <left/>
        <right style="hair">
          <color auto="1"/>
        </right>
        <top/>
        <bottom/>
        <vertical/>
        <horizontal/>
      </border>
    </dxf>
    <dxf>
      <font>
        <b/>
        <i val="0"/>
        <strike val="0"/>
        <color auto="1"/>
      </font>
      <fill>
        <patternFill patternType="solid">
          <bgColor rgb="FFFFC000"/>
        </patternFill>
      </fill>
      <border>
        <left/>
        <right style="hair">
          <color auto="1"/>
        </right>
        <top/>
        <bottom/>
        <vertical/>
        <horizontal/>
      </border>
    </dxf>
    <dxf>
      <alignment horizontal="general" vertical="center" textRotation="0" wrapText="0" indent="0" justifyLastLine="0" shrinkToFit="1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font>
        <b/>
      </font>
      <alignment horizontal="general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0DD1"/>
      <color rgb="FFFFE07D"/>
      <color rgb="FFB8E08C"/>
      <color rgb="FF69D8FF"/>
      <color rgb="FFFF4B94"/>
      <color rgb="FFA6A6A6"/>
      <color rgb="FFFFDD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10C58-6B6D-4EED-9E65-FD2E7F3EE110}" name="Table1" displayName="Table1" ref="A3:H21" totalsRowShown="0" headerRowDxfId="17" dataDxfId="16">
  <autoFilter ref="A3:H21" xr:uid="{86410C58-6B6D-4EED-9E65-FD2E7F3EE110}"/>
  <sortState xmlns:xlrd2="http://schemas.microsoft.com/office/spreadsheetml/2017/richdata2" ref="A4:H21">
    <sortCondition descending="1" ref="G3:G21"/>
  </sortState>
  <tableColumns count="8">
    <tableColumn id="20" xr3:uid="{EEB40BCE-3B8E-47D1-81A3-95F808EEC662}" name="Category" dataDxfId="15"/>
    <tableColumn id="17" xr3:uid="{0B1C8CA8-4137-42DD-A6C6-0EAC0316BF41}" name="Name" dataDxfId="14"/>
    <tableColumn id="3" xr3:uid="{58B5321A-D694-4983-A6C8-95A637BFFB98}" name="Task" dataDxfId="13"/>
    <tableColumn id="1" xr3:uid="{61497E51-7B9C-402D-9677-C30FFE02C654}" name="Description" dataDxfId="12"/>
    <tableColumn id="5" xr3:uid="{FF5A2DAE-000C-4452-A5A7-0E62A4FC12BD}" name="Difficulty" dataDxfId="11"/>
    <tableColumn id="6" xr3:uid="{A66E4721-5754-469D-9201-E12C0884ADCB}" name="Importance" dataDxfId="10"/>
    <tableColumn id="2" xr3:uid="{5BCC2219-7509-4936-8667-BD0D5ADF5F6D}" name="Value" dataDxfId="9">
      <calculatedColumnFormula>SUM(F4 - E4)</calculatedColumnFormula>
    </tableColumn>
    <tableColumn id="4" xr3:uid="{BA25868E-8C36-4999-8F3B-1A10C863A664}" name="Status" dataDxfId="8"/>
  </tableColumns>
  <tableStyleInfo name="TableStyleMedium6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4CE0-7363-49C7-9685-74FE6BBD0D05}">
  <sheetPr>
    <pageSetUpPr fitToPage="1"/>
  </sheetPr>
  <dimension ref="A1:R133"/>
  <sheetViews>
    <sheetView tabSelected="1" zoomScale="85" zoomScaleNormal="85" workbookViewId="0">
      <selection activeCell="I14" sqref="I14"/>
    </sheetView>
  </sheetViews>
  <sheetFormatPr defaultRowHeight="20.100000000000001" customHeight="1" x14ac:dyDescent="0.25"/>
  <cols>
    <col min="1" max="1" width="29.7109375" customWidth="1"/>
    <col min="2" max="2" width="23.28515625" customWidth="1"/>
    <col min="3" max="3" width="22.5703125" customWidth="1"/>
    <col min="4" max="4" width="39" customWidth="1"/>
    <col min="5" max="5" width="11.5703125" customWidth="1"/>
    <col min="6" max="6" width="12.42578125" customWidth="1"/>
    <col min="7" max="7" width="13.42578125" customWidth="1"/>
    <col min="8" max="8" width="14.140625" customWidth="1"/>
    <col min="9" max="9" width="11.7109375" customWidth="1"/>
    <col min="10" max="10" width="12.28515625" customWidth="1"/>
    <col min="11" max="11" width="31.85546875" customWidth="1"/>
    <col min="12" max="12" width="14.85546875" customWidth="1"/>
    <col min="13" max="13" width="15.5703125" customWidth="1"/>
    <col min="14" max="14" width="11.7109375" customWidth="1"/>
    <col min="15" max="15" width="13.5703125" customWidth="1"/>
    <col min="16" max="16" width="10.85546875" customWidth="1"/>
    <col min="17" max="17" width="10.7109375" customWidth="1"/>
    <col min="18" max="18" width="26.28515625" customWidth="1"/>
    <col min="19" max="19" width="9.28515625" customWidth="1"/>
  </cols>
  <sheetData>
    <row r="1" spans="1:18" ht="15" x14ac:dyDescent="0.25">
      <c r="A1" s="15" t="s">
        <v>3</v>
      </c>
      <c r="B1" s="15"/>
      <c r="C1" s="15"/>
      <c r="D1" s="15"/>
      <c r="E1" s="1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x14ac:dyDescent="0.25">
      <c r="A2" s="15" t="s">
        <v>4</v>
      </c>
      <c r="B2" s="15"/>
      <c r="C2" s="15"/>
      <c r="D2" s="5"/>
      <c r="E2" s="15" t="s">
        <v>7</v>
      </c>
      <c r="F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0.100000000000001" customHeight="1" x14ac:dyDescent="0.35">
      <c r="A3" s="7" t="s">
        <v>2</v>
      </c>
      <c r="B3" s="7" t="s">
        <v>1</v>
      </c>
      <c r="C3" s="7" t="s">
        <v>13</v>
      </c>
      <c r="D3" s="7" t="s">
        <v>5</v>
      </c>
      <c r="E3" s="7" t="s">
        <v>29</v>
      </c>
      <c r="F3" s="7" t="s">
        <v>6</v>
      </c>
      <c r="G3" s="6" t="s">
        <v>30</v>
      </c>
      <c r="H3" s="6" t="s">
        <v>14</v>
      </c>
      <c r="K3" t="s">
        <v>0</v>
      </c>
      <c r="L3" t="s">
        <v>8</v>
      </c>
      <c r="M3">
        <v>1</v>
      </c>
    </row>
    <row r="4" spans="1:18" ht="20.100000000000001" customHeight="1" x14ac:dyDescent="0.25">
      <c r="A4" s="8" t="s">
        <v>12</v>
      </c>
      <c r="B4" s="12" t="s">
        <v>20</v>
      </c>
      <c r="C4" s="9"/>
      <c r="D4" s="9"/>
      <c r="E4" s="13">
        <v>1</v>
      </c>
      <c r="F4" s="13">
        <v>4</v>
      </c>
      <c r="G4" s="13">
        <f t="shared" ref="G4:G21" si="0">SUM(F4 - E4)</f>
        <v>3</v>
      </c>
      <c r="H4" s="9" t="s">
        <v>9</v>
      </c>
      <c r="K4" t="s">
        <v>11</v>
      </c>
      <c r="L4" t="s">
        <v>9</v>
      </c>
      <c r="M4">
        <v>2</v>
      </c>
    </row>
    <row r="5" spans="1:18" ht="20.100000000000001" customHeight="1" x14ac:dyDescent="0.25">
      <c r="A5" s="8" t="s">
        <v>11</v>
      </c>
      <c r="B5" s="12" t="s">
        <v>21</v>
      </c>
      <c r="C5" s="9"/>
      <c r="D5" s="9"/>
      <c r="E5" s="13">
        <v>2</v>
      </c>
      <c r="F5" s="13">
        <v>4</v>
      </c>
      <c r="G5" s="13">
        <f t="shared" si="0"/>
        <v>2</v>
      </c>
      <c r="H5" s="9" t="s">
        <v>9</v>
      </c>
      <c r="K5" t="s">
        <v>15</v>
      </c>
      <c r="L5" t="s">
        <v>10</v>
      </c>
      <c r="M5">
        <v>3</v>
      </c>
    </row>
    <row r="6" spans="1:18" ht="20.100000000000001" customHeight="1" x14ac:dyDescent="0.25">
      <c r="A6" s="10" t="s">
        <v>11</v>
      </c>
      <c r="B6" s="12" t="s">
        <v>24</v>
      </c>
      <c r="C6" s="11"/>
      <c r="D6" s="11"/>
      <c r="E6" s="13">
        <v>3</v>
      </c>
      <c r="F6" s="13">
        <v>5</v>
      </c>
      <c r="G6" s="13">
        <f t="shared" si="0"/>
        <v>2</v>
      </c>
      <c r="H6" s="9" t="s">
        <v>9</v>
      </c>
      <c r="K6" t="s">
        <v>12</v>
      </c>
      <c r="M6">
        <v>4</v>
      </c>
    </row>
    <row r="7" spans="1:18" ht="20.100000000000001" customHeight="1" x14ac:dyDescent="0.25">
      <c r="A7" s="8" t="s">
        <v>12</v>
      </c>
      <c r="B7" s="12" t="s">
        <v>19</v>
      </c>
      <c r="C7" s="9"/>
      <c r="D7" s="9"/>
      <c r="E7" s="13">
        <v>2</v>
      </c>
      <c r="F7" s="13">
        <v>3</v>
      </c>
      <c r="G7" s="13">
        <f t="shared" si="0"/>
        <v>1</v>
      </c>
      <c r="H7" s="9" t="s">
        <v>9</v>
      </c>
      <c r="K7" t="s">
        <v>26</v>
      </c>
      <c r="M7">
        <v>5</v>
      </c>
    </row>
    <row r="8" spans="1:18" ht="20.100000000000001" customHeight="1" x14ac:dyDescent="0.25">
      <c r="A8" s="8" t="s">
        <v>26</v>
      </c>
      <c r="B8" s="12" t="s">
        <v>34</v>
      </c>
      <c r="C8" s="9"/>
      <c r="D8" s="9"/>
      <c r="E8" s="13">
        <v>3</v>
      </c>
      <c r="F8" s="13">
        <v>4</v>
      </c>
      <c r="G8" s="13">
        <f t="shared" si="0"/>
        <v>1</v>
      </c>
      <c r="H8" s="9" t="s">
        <v>9</v>
      </c>
    </row>
    <row r="9" spans="1:18" ht="20.100000000000001" customHeight="1" x14ac:dyDescent="0.25">
      <c r="A9" s="10" t="s">
        <v>11</v>
      </c>
      <c r="B9" s="12" t="s">
        <v>22</v>
      </c>
      <c r="C9" s="11"/>
      <c r="D9" s="11"/>
      <c r="E9" s="13">
        <v>2</v>
      </c>
      <c r="F9" s="13">
        <v>3</v>
      </c>
      <c r="G9" s="13">
        <f t="shared" si="0"/>
        <v>1</v>
      </c>
      <c r="H9" s="9" t="s">
        <v>9</v>
      </c>
    </row>
    <row r="10" spans="1:18" ht="20.100000000000001" customHeight="1" x14ac:dyDescent="0.25">
      <c r="A10" s="8" t="s">
        <v>15</v>
      </c>
      <c r="B10" s="12" t="s">
        <v>31</v>
      </c>
      <c r="C10" s="9"/>
      <c r="D10" s="9"/>
      <c r="E10" s="13"/>
      <c r="F10" s="13"/>
      <c r="G10" s="13">
        <f t="shared" si="0"/>
        <v>0</v>
      </c>
      <c r="H10" s="9" t="s">
        <v>9</v>
      </c>
    </row>
    <row r="11" spans="1:18" ht="20.100000000000001" customHeight="1" x14ac:dyDescent="0.25">
      <c r="A11" s="8" t="s">
        <v>15</v>
      </c>
      <c r="B11" s="12" t="s">
        <v>17</v>
      </c>
      <c r="C11" s="9"/>
      <c r="D11" s="9"/>
      <c r="E11" s="13">
        <v>3</v>
      </c>
      <c r="F11" s="13">
        <v>3</v>
      </c>
      <c r="G11" s="13">
        <f t="shared" si="0"/>
        <v>0</v>
      </c>
      <c r="H11" s="9" t="s">
        <v>9</v>
      </c>
    </row>
    <row r="12" spans="1:18" ht="20.100000000000001" customHeight="1" x14ac:dyDescent="0.25">
      <c r="A12" s="8" t="s">
        <v>12</v>
      </c>
      <c r="B12" s="12" t="s">
        <v>16</v>
      </c>
      <c r="C12" s="9"/>
      <c r="D12" s="9"/>
      <c r="E12" s="13">
        <v>5</v>
      </c>
      <c r="F12" s="13">
        <v>5</v>
      </c>
      <c r="G12" s="13">
        <f t="shared" si="0"/>
        <v>0</v>
      </c>
      <c r="H12" s="9" t="s">
        <v>9</v>
      </c>
    </row>
    <row r="13" spans="1:18" ht="20.100000000000001" customHeight="1" x14ac:dyDescent="0.25">
      <c r="A13" s="8" t="s">
        <v>12</v>
      </c>
      <c r="B13" s="12" t="s">
        <v>28</v>
      </c>
      <c r="C13" s="9"/>
      <c r="D13" s="9"/>
      <c r="E13" s="13">
        <v>1</v>
      </c>
      <c r="F13" s="13">
        <v>1</v>
      </c>
      <c r="G13" s="13">
        <f t="shared" si="0"/>
        <v>0</v>
      </c>
      <c r="H13" s="9" t="s">
        <v>9</v>
      </c>
    </row>
    <row r="14" spans="1:18" ht="20.100000000000001" customHeight="1" x14ac:dyDescent="0.25">
      <c r="A14" s="8" t="s">
        <v>26</v>
      </c>
      <c r="B14" s="12" t="s">
        <v>35</v>
      </c>
      <c r="C14" s="9"/>
      <c r="D14" s="9"/>
      <c r="E14" s="13">
        <v>4</v>
      </c>
      <c r="F14" s="13">
        <v>4</v>
      </c>
      <c r="G14" s="13">
        <f t="shared" si="0"/>
        <v>0</v>
      </c>
      <c r="H14" s="9" t="s">
        <v>8</v>
      </c>
    </row>
    <row r="15" spans="1:18" ht="20.100000000000001" customHeight="1" x14ac:dyDescent="0.25">
      <c r="A15" s="8" t="s">
        <v>26</v>
      </c>
      <c r="B15" s="12" t="s">
        <v>27</v>
      </c>
      <c r="C15" s="9"/>
      <c r="D15" s="9"/>
      <c r="E15" s="13">
        <v>4</v>
      </c>
      <c r="F15" s="13">
        <v>4</v>
      </c>
      <c r="G15" s="13">
        <f t="shared" si="0"/>
        <v>0</v>
      </c>
      <c r="H15" s="9" t="s">
        <v>9</v>
      </c>
    </row>
    <row r="16" spans="1:18" ht="20.100000000000001" customHeight="1" x14ac:dyDescent="0.25">
      <c r="A16" s="8" t="s">
        <v>0</v>
      </c>
      <c r="B16" s="12" t="s">
        <v>36</v>
      </c>
      <c r="C16" s="9"/>
      <c r="D16" s="9"/>
      <c r="E16" s="13">
        <v>2</v>
      </c>
      <c r="F16" s="13">
        <v>5</v>
      </c>
      <c r="G16" s="13">
        <f>SUM(F16 - E16)</f>
        <v>3</v>
      </c>
      <c r="H16" s="9" t="s">
        <v>8</v>
      </c>
    </row>
    <row r="17" spans="1:8" ht="20.100000000000001" customHeight="1" x14ac:dyDescent="0.25">
      <c r="A17" s="10" t="s">
        <v>0</v>
      </c>
      <c r="B17" s="12" t="s">
        <v>33</v>
      </c>
      <c r="C17" s="11"/>
      <c r="D17" s="11"/>
      <c r="E17" s="13">
        <v>2</v>
      </c>
      <c r="F17" s="13">
        <v>2</v>
      </c>
      <c r="G17" s="13">
        <f t="shared" si="0"/>
        <v>0</v>
      </c>
      <c r="H17" s="9" t="s">
        <v>9</v>
      </c>
    </row>
    <row r="18" spans="1:8" ht="20.100000000000001" customHeight="1" x14ac:dyDescent="0.25">
      <c r="A18" s="8" t="s">
        <v>15</v>
      </c>
      <c r="B18" s="12" t="s">
        <v>18</v>
      </c>
      <c r="C18" s="9"/>
      <c r="D18" s="9"/>
      <c r="E18" s="13">
        <v>4</v>
      </c>
      <c r="F18" s="13">
        <v>3</v>
      </c>
      <c r="G18" s="13">
        <f t="shared" si="0"/>
        <v>-1</v>
      </c>
      <c r="H18" s="9" t="s">
        <v>9</v>
      </c>
    </row>
    <row r="19" spans="1:8" ht="20.100000000000001" customHeight="1" x14ac:dyDescent="0.25">
      <c r="A19" s="8" t="s">
        <v>12</v>
      </c>
      <c r="B19" s="12" t="s">
        <v>25</v>
      </c>
      <c r="C19" s="9"/>
      <c r="D19" s="9"/>
      <c r="E19" s="13">
        <v>3</v>
      </c>
      <c r="F19" s="13">
        <v>2</v>
      </c>
      <c r="G19" s="13">
        <f t="shared" si="0"/>
        <v>-1</v>
      </c>
      <c r="H19" s="9" t="s">
        <v>9</v>
      </c>
    </row>
    <row r="20" spans="1:8" ht="20.100000000000001" customHeight="1" x14ac:dyDescent="0.25">
      <c r="A20" s="10" t="s">
        <v>11</v>
      </c>
      <c r="B20" s="12" t="s">
        <v>23</v>
      </c>
      <c r="C20" s="11"/>
      <c r="D20" s="11"/>
      <c r="E20" s="13">
        <v>3</v>
      </c>
      <c r="F20" s="13">
        <v>2</v>
      </c>
      <c r="G20" s="13">
        <f t="shared" si="0"/>
        <v>-1</v>
      </c>
      <c r="H20" s="9" t="s">
        <v>9</v>
      </c>
    </row>
    <row r="21" spans="1:8" ht="20.100000000000001" customHeight="1" x14ac:dyDescent="0.25">
      <c r="A21" s="8" t="s">
        <v>26</v>
      </c>
      <c r="B21" s="14" t="s">
        <v>32</v>
      </c>
      <c r="C21" s="9"/>
      <c r="D21" s="9"/>
      <c r="E21" s="13">
        <v>3</v>
      </c>
      <c r="F21" s="13">
        <v>1</v>
      </c>
      <c r="G21" s="13">
        <f t="shared" si="0"/>
        <v>-2</v>
      </c>
      <c r="H21" s="9" t="s">
        <v>9</v>
      </c>
    </row>
    <row r="22" spans="1:8" ht="20.100000000000001" customHeight="1" x14ac:dyDescent="0.25">
      <c r="A22" s="1"/>
      <c r="B22" s="1"/>
      <c r="C22" s="1"/>
      <c r="D22" s="1"/>
      <c r="E22" s="1"/>
    </row>
    <row r="23" spans="1:8" ht="20.100000000000001" customHeight="1" x14ac:dyDescent="0.25">
      <c r="A23" s="1"/>
      <c r="B23" s="1"/>
      <c r="C23" s="1"/>
      <c r="D23" s="1"/>
      <c r="E23" s="1"/>
    </row>
    <row r="24" spans="1:8" ht="20.100000000000001" customHeight="1" x14ac:dyDescent="0.25">
      <c r="A24" s="1"/>
      <c r="B24" s="1"/>
      <c r="C24" s="1"/>
      <c r="D24" s="1"/>
      <c r="E24" s="1"/>
    </row>
    <row r="25" spans="1:8" ht="20.100000000000001" customHeight="1" x14ac:dyDescent="0.25">
      <c r="A25" s="1"/>
      <c r="B25" s="1"/>
      <c r="C25" s="1"/>
      <c r="D25" s="1"/>
      <c r="E25" s="1"/>
    </row>
    <row r="26" spans="1:8" ht="20.100000000000001" customHeight="1" x14ac:dyDescent="0.25">
      <c r="D26" s="1"/>
    </row>
    <row r="33" customFormat="1" ht="20.100000000000001" customHeight="1" x14ac:dyDescent="0.25"/>
    <row r="34" customFormat="1" ht="20.100000000000001" customHeight="1" x14ac:dyDescent="0.25"/>
    <row r="35" customFormat="1" ht="20.100000000000001" customHeight="1" x14ac:dyDescent="0.25"/>
    <row r="36" customFormat="1" ht="20.100000000000001" customHeight="1" x14ac:dyDescent="0.25"/>
    <row r="37" customFormat="1" ht="20.100000000000001" customHeight="1" x14ac:dyDescent="0.25"/>
    <row r="38" customFormat="1" ht="20.100000000000001" customHeight="1" x14ac:dyDescent="0.25"/>
    <row r="39" customFormat="1" ht="20.100000000000001" customHeight="1" x14ac:dyDescent="0.25"/>
    <row r="40" customFormat="1" ht="20.100000000000001" customHeight="1" x14ac:dyDescent="0.25"/>
    <row r="41" customFormat="1" ht="20.100000000000001" customHeight="1" x14ac:dyDescent="0.25"/>
    <row r="42" customFormat="1" ht="20.100000000000001" customHeight="1" x14ac:dyDescent="0.25"/>
    <row r="43" customFormat="1" ht="20.100000000000001" customHeight="1" x14ac:dyDescent="0.25"/>
    <row r="44" customFormat="1" ht="20.100000000000001" customHeight="1" x14ac:dyDescent="0.25"/>
    <row r="45" customFormat="1" ht="20.100000000000001" customHeight="1" x14ac:dyDescent="0.25"/>
    <row r="46" customFormat="1" ht="20.100000000000001" customHeight="1" x14ac:dyDescent="0.25"/>
    <row r="47" customFormat="1" ht="20.100000000000001" customHeight="1" x14ac:dyDescent="0.25"/>
    <row r="48" customFormat="1" ht="20.100000000000001" customHeight="1" x14ac:dyDescent="0.25"/>
    <row r="49" customFormat="1" ht="20.100000000000001" customHeight="1" x14ac:dyDescent="0.25"/>
    <row r="50" customFormat="1" ht="20.100000000000001" customHeight="1" x14ac:dyDescent="0.25"/>
    <row r="116" spans="7:18" ht="20.100000000000001" customHeight="1" x14ac:dyDescent="0.25">
      <c r="I116" s="1"/>
      <c r="J116" s="1"/>
      <c r="K116" s="1"/>
      <c r="L116" s="1"/>
      <c r="M116" s="1"/>
      <c r="N116" s="1"/>
      <c r="O116" s="1"/>
      <c r="P116" s="1"/>
      <c r="Q116" s="1"/>
      <c r="R116" s="2"/>
    </row>
    <row r="117" spans="7:18" ht="20.100000000000001" customHeight="1" x14ac:dyDescent="0.25">
      <c r="I117" s="1"/>
      <c r="J117" s="3"/>
      <c r="K117" s="1"/>
      <c r="L117" s="1"/>
      <c r="M117" s="1"/>
      <c r="N117" s="1"/>
      <c r="O117" s="1"/>
      <c r="P117" s="1"/>
      <c r="Q117" s="1"/>
      <c r="R117" s="1"/>
    </row>
    <row r="118" spans="7:18" ht="20.100000000000001" customHeight="1" x14ac:dyDescent="0.25"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7:18" ht="20.100000000000001" customHeight="1" x14ac:dyDescent="0.25"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2" spans="7:18" ht="20.100000000000001" customHeight="1" x14ac:dyDescent="0.25">
      <c r="G122" s="1"/>
      <c r="H122" s="1"/>
    </row>
    <row r="123" spans="7:18" ht="20.100000000000001" customHeight="1" x14ac:dyDescent="0.25">
      <c r="G123" s="3"/>
      <c r="H123" s="3"/>
    </row>
    <row r="124" spans="7:18" ht="20.100000000000001" customHeight="1" x14ac:dyDescent="0.25">
      <c r="G124" s="1"/>
      <c r="H124" s="1"/>
    </row>
    <row r="125" spans="7:18" ht="20.100000000000001" customHeight="1" x14ac:dyDescent="0.25">
      <c r="G125" s="1"/>
      <c r="H125" s="1"/>
    </row>
    <row r="130" spans="6:6" ht="20.100000000000001" customHeight="1" x14ac:dyDescent="0.25">
      <c r="F130" s="1"/>
    </row>
    <row r="131" spans="6:6" ht="20.100000000000001" customHeight="1" x14ac:dyDescent="0.25">
      <c r="F131" s="1"/>
    </row>
    <row r="132" spans="6:6" ht="20.100000000000001" customHeight="1" x14ac:dyDescent="0.25">
      <c r="F132" s="1"/>
    </row>
    <row r="133" spans="6:6" ht="20.100000000000001" customHeight="1" x14ac:dyDescent="0.25">
      <c r="F133" s="1"/>
    </row>
  </sheetData>
  <mergeCells count="3">
    <mergeCell ref="A2:C2"/>
    <mergeCell ref="A1:E1"/>
    <mergeCell ref="E2:F2"/>
  </mergeCells>
  <conditionalFormatting sqref="A4:A21">
    <cfRule type="containsText" dxfId="7" priority="3" operator="containsText" text="UX">
      <formula>NOT(ISERROR(SEARCH("UX",A4)))</formula>
    </cfRule>
    <cfRule type="containsText" dxfId="6" priority="8" operator="containsText" text="Entity">
      <formula>NOT(ISERROR(SEARCH("Entity",A4)))</formula>
    </cfRule>
    <cfRule type="containsText" dxfId="5" priority="9" operator="containsText" text="Level">
      <formula>NOT(ISERROR(SEARCH("Level",A4)))</formula>
    </cfRule>
    <cfRule type="containsText" dxfId="4" priority="10" operator="containsText" text="Mechanic">
      <formula>NOT(ISERROR(SEARCH("Mechanic",A4)))</formula>
    </cfRule>
    <cfRule type="containsText" dxfId="3" priority="11" operator="containsText" text="VFX">
      <formula>NOT(ISERROR(SEARCH("VFX",A4)))</formula>
    </cfRule>
  </conditionalFormatting>
  <conditionalFormatting sqref="E4:F21">
    <cfRule type="colorScale" priority="2">
      <colorScale>
        <cfvo type="num" val="0"/>
        <cfvo type="num" val="5"/>
        <color rgb="FFFF0DD1"/>
        <color rgb="FF7030A0"/>
      </colorScale>
    </cfRule>
  </conditionalFormatting>
  <conditionalFormatting sqref="G4:G21">
    <cfRule type="colorScale" priority="1">
      <colorScale>
        <cfvo type="num" val="-5"/>
        <cfvo type="num" val="5"/>
        <color theme="4" tint="0.39997558519241921"/>
        <color rgb="FF0070C0"/>
      </colorScale>
    </cfRule>
    <cfRule type="colorScale" priority="4">
      <colorScale>
        <cfvo type="num" val="0"/>
        <cfvo type="num" val="5"/>
        <color rgb="FF7030A0"/>
        <color rgb="FFFF0DD1"/>
      </colorScale>
    </cfRule>
  </conditionalFormatting>
  <conditionalFormatting sqref="H4:H21">
    <cfRule type="containsText" dxfId="2" priority="5" operator="containsText" text="In-">
      <formula>NOT(ISERROR(SEARCH("In-",H4)))</formula>
    </cfRule>
    <cfRule type="containsText" dxfId="1" priority="6" operator="containsText" text="ToDo">
      <formula>NOT(ISERROR(SEARCH("ToDo",H4)))</formula>
    </cfRule>
    <cfRule type="containsText" dxfId="0" priority="7" operator="containsText" text="Done">
      <formula>NOT(ISERROR(SEARCH("Done",H4)))</formula>
    </cfRule>
  </conditionalFormatting>
  <dataValidations count="11">
    <dataValidation type="list" allowBlank="1" showInputMessage="1" showErrorMessage="1" sqref="C24:C25" xr:uid="{79162181-DB86-4E12-831C-545B29C51799}">
      <formula1>$Q$3:$Q$9</formula1>
    </dataValidation>
    <dataValidation type="list" allowBlank="1" showInputMessage="1" showErrorMessage="1" sqref="E24:E25" xr:uid="{D8E8E57E-C2DC-401B-A15F-F713F8D4C496}">
      <formula1>$S$3:$S$8</formula1>
    </dataValidation>
    <dataValidation type="list" allowBlank="1" showInputMessage="1" showErrorMessage="1" sqref="A24:A25" xr:uid="{3AFF5DF0-9B34-4594-9FC1-5211EE5E550D}">
      <formula1>$T$3:$T$10</formula1>
    </dataValidation>
    <dataValidation type="list" allowBlank="1" showInputMessage="1" showErrorMessage="1" sqref="A22:A23" xr:uid="{19D21CA4-14C7-46FD-B09F-6775224BC6B0}">
      <formula1>$S$3:$S$10</formula1>
    </dataValidation>
    <dataValidation type="list" allowBlank="1" showInputMessage="1" showErrorMessage="1" sqref="E22:E23" xr:uid="{AAA9FB08-3F95-48D4-8DE0-F1DA9EFFD343}">
      <formula1>$R$3:$R$8</formula1>
    </dataValidation>
    <dataValidation type="list" allowBlank="1" showInputMessage="1" showErrorMessage="1" sqref="C22:C23" xr:uid="{F2939969-0038-4694-AA28-59F2E4AA524B}">
      <formula1>$P$3:$P$9</formula1>
    </dataValidation>
    <dataValidation type="list" allowBlank="1" showInputMessage="1" showErrorMessage="1" sqref="B24:B25" xr:uid="{03C2B8D0-B489-4863-BAFC-B4909F39C217}">
      <formula1>$O$3:$O$10</formula1>
    </dataValidation>
    <dataValidation type="list" allowBlank="1" showInputMessage="1" showErrorMessage="1" sqref="B22:B23" xr:uid="{B162823E-A238-4201-A820-B23EEE0B25B6}">
      <formula1>$N$3:$N$10</formula1>
    </dataValidation>
    <dataValidation type="list" allowBlank="1" showInputMessage="1" showErrorMessage="1" sqref="A4:A21" xr:uid="{8F7CDDB0-4D2E-40F4-933F-A75A392F4F47}">
      <formula1>$K$3:$K$8</formula1>
    </dataValidation>
    <dataValidation type="list" allowBlank="1" showInputMessage="1" showErrorMessage="1" sqref="H4:H21" xr:uid="{D0D49AF2-2810-4130-ABA2-97EFD91D62B5}">
      <formula1>$L$3:$L$5</formula1>
    </dataValidation>
    <dataValidation type="list" allowBlank="1" showInputMessage="1" showErrorMessage="1" sqref="E4:F21" xr:uid="{189D3B86-025B-4322-857F-FBBB2672C615}">
      <formula1>$M$3:$M$7</formula1>
    </dataValidation>
  </dataValidations>
  <pageMargins left="0.7" right="0.7" top="0.75" bottom="0.75" header="0.3" footer="0.3"/>
  <pageSetup paperSize="9" scale="1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cornell</dc:creator>
  <cp:keywords/>
  <dc:description/>
  <cp:lastModifiedBy>charles cornell</cp:lastModifiedBy>
  <cp:revision/>
  <dcterms:created xsi:type="dcterms:W3CDTF">2023-11-01T14:03:51Z</dcterms:created>
  <dcterms:modified xsi:type="dcterms:W3CDTF">2025-08-15T17:35:16Z</dcterms:modified>
  <cp:category/>
  <cp:contentStatus/>
</cp:coreProperties>
</file>